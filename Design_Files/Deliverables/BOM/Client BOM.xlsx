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<sst xmlns="http://schemas.openxmlformats.org/spreadsheetml/2006/main" count="372" uniqueCount="249">
  <si>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</si>
  <si>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</si>
  <si>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</si>
  <si>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</si>
  <si>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</si>
  <si>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</si>
  <si>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</si>
  <si>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</si>
  <si>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</si>
  <si>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>Remarks</t>
  </si>
  <si>
    <t>Capacitor</t>
  </si>
  <si>
    <t>C1, C3</t>
  </si>
  <si>
    <t>CAP CER 1UF 10V X5R 0402</t>
  </si>
  <si>
    <t>Cap-0402</t>
  </si>
  <si>
    <t>CC0402KRX5R6BB105</t>
  </si>
  <si>
    <t>Yageo</t>
  </si>
  <si>
    <t>1uF</t>
  </si>
  <si>
    <t>C2</t>
  </si>
  <si>
    <t>CAP CER 10UF 10V X5R 0402</t>
  </si>
  <si>
    <t>CC0402MRX5R6BB106</t>
  </si>
  <si>
    <t>10uF</t>
  </si>
  <si>
    <t>C4, C5, C6, C7, C8, C9, C12, C15, C19, C24, C25, C27, C29, C37, C38</t>
  </si>
  <si>
    <t>CAP CER 0.1UF 25V X5R 0402</t>
  </si>
  <si>
    <t>CC0402KRX5R8BB104</t>
  </si>
  <si>
    <t>100nF</t>
  </si>
  <si>
    <t>C10</t>
  </si>
  <si>
    <t>47uF 25V 0.9Ω@100kHz ±10% CASE-D-7343 Tantalum Capacitors ROHS</t>
  </si>
  <si>
    <t>Case-D</t>
  </si>
  <si>
    <t>CA45-D025K476T</t>
  </si>
  <si>
    <t>Hunan Xiangyee in S&amp;T</t>
  </si>
  <si>
    <t>47uF</t>
  </si>
  <si>
    <t>C11, C14, C18, C22, C23</t>
  </si>
  <si>
    <t>CAP CER 10000PF 50V X7R 0402</t>
  </si>
  <si>
    <t>CC0402KRX7R9BB103</t>
  </si>
  <si>
    <t>10nF</t>
  </si>
  <si>
    <t>C13, C16, C20</t>
  </si>
  <si>
    <t>CAP CER 2.2UF 25V X5R 0402</t>
  </si>
  <si>
    <t>GRM155R61E225KE11D</t>
  </si>
  <si>
    <t>Murata</t>
  </si>
  <si>
    <t>2.2uf</t>
  </si>
  <si>
    <t>C17</t>
  </si>
  <si>
    <t>CAP CER 4700PF 1KV X7R 1206</t>
  </si>
  <si>
    <t>Cap-1206</t>
  </si>
  <si>
    <t>CC1206KKX7RCBB472</t>
  </si>
  <si>
    <t>4.7nF</t>
  </si>
  <si>
    <t>C21, C30</t>
  </si>
  <si>
    <t>CAP CER 20PF 50V C0G/NPO 0402</t>
  </si>
  <si>
    <t>CC0402JRNPO9BN200</t>
  </si>
  <si>
    <t>20pF</t>
  </si>
  <si>
    <t>C26, C28</t>
  </si>
  <si>
    <t>CAP CER 4.7UF 10V X5R 0402</t>
  </si>
  <si>
    <t>CC0402KRX5R6BB475</t>
  </si>
  <si>
    <t>4.7uF</t>
  </si>
  <si>
    <t>C31, C32, C33</t>
  </si>
  <si>
    <t>CAP TANT 100UF 20% 25V 2917</t>
  </si>
  <si>
    <t>Case-E</t>
  </si>
  <si>
    <t>TAJE107M025RNJ</t>
  </si>
  <si>
    <t>Kyocera AVX</t>
  </si>
  <si>
    <t>100uF</t>
  </si>
  <si>
    <t>Capacitors</t>
  </si>
  <si>
    <t>C34, C35, C36, C40</t>
  </si>
  <si>
    <t>CAP CER 22UF 16V X5R 0603</t>
  </si>
  <si>
    <t>Cap-0603</t>
  </si>
  <si>
    <t>CL10A226MO7JZNC</t>
  </si>
  <si>
    <t>Samsung</t>
  </si>
  <si>
    <t>22uF</t>
  </si>
  <si>
    <t>C39</t>
  </si>
  <si>
    <t>CAP TANT 220UF 10% 16V 2917</t>
  </si>
  <si>
    <t>T491X227K016AT</t>
  </si>
  <si>
    <t>KEMET</t>
  </si>
  <si>
    <t>220uF</t>
  </si>
  <si>
    <t>C41</t>
  </si>
  <si>
    <t>CAP CER 4.7UF 16V X7S 0603</t>
  </si>
  <si>
    <t>GRM188C71C475KE21D</t>
  </si>
  <si>
    <t>C42</t>
  </si>
  <si>
    <t>CAP CER 4700PF 100V X7R 0603</t>
  </si>
  <si>
    <t>CC0603KRX7R0BB472</t>
  </si>
  <si>
    <t>C43</t>
  </si>
  <si>
    <t>CAP CER 15PF 50V C0G/NPO 0603</t>
  </si>
  <si>
    <t>CC0603JRNPO9BN150</t>
  </si>
  <si>
    <t>15pF</t>
  </si>
  <si>
    <t>Diode</t>
  </si>
  <si>
    <t>D1</t>
  </si>
  <si>
    <t>TVS DIODE 5VWM 6.3VC DSN0603-2</t>
  </si>
  <si>
    <t>DSN0603-2</t>
  </si>
  <si>
    <t>PESD5V0H1BSFYL</t>
  </si>
  <si>
    <t>Nexperia</t>
  </si>
  <si>
    <t>-</t>
  </si>
  <si>
    <t>D2, D3</t>
  </si>
  <si>
    <t>DIODE SCHOTTKY 5A 40V SMB</t>
  </si>
  <si>
    <t>SMB_</t>
  </si>
  <si>
    <t>SS54B-HF</t>
  </si>
  <si>
    <t>Comchip</t>
  </si>
  <si>
    <t>D4</t>
  </si>
  <si>
    <t>16A 20V 7V 5V@Max Unidirectional SOT-23 TVS ROHS</t>
  </si>
  <si>
    <t>Sot-23</t>
  </si>
  <si>
    <t>ESD5302F-3/TR</t>
  </si>
  <si>
    <t>WILLSEMI</t>
  </si>
  <si>
    <t>Male Header</t>
  </si>
  <si>
    <t>J1</t>
  </si>
  <si>
    <t>3A Straight Square Pins 2.5mm 6P 6mm -40℃~+105℃ 3mm 2.54mm 双排 Black 2x3P 2.54mm Plugin,P=2.54mm Pin Headers ROHS</t>
  </si>
  <si>
    <t>PH-01291</t>
  </si>
  <si>
    <t>Liansheng</t>
  </si>
  <si>
    <t>USB Connector</t>
  </si>
  <si>
    <t>J4</t>
  </si>
  <si>
    <t>5A 1 16P Female Type-C SMD USB Connectors ROHS</t>
  </si>
  <si>
    <t>TYPE-C-31-M-12_</t>
  </si>
  <si>
    <t>TYPE-C-31-M-12</t>
  </si>
  <si>
    <t>Korean Hroparts Elec</t>
  </si>
  <si>
    <t>FFC / FPC</t>
  </si>
  <si>
    <t>J5, J6, J7, J8, J9, J10</t>
  </si>
  <si>
    <t>CONN FFC FPC BOTTOM 5POS 1MM R/A</t>
  </si>
  <si>
    <t>SFW5R-1STE1LF</t>
  </si>
  <si>
    <t>Amphenol ICC / FCI</t>
  </si>
  <si>
    <t>Inductors</t>
  </si>
  <si>
    <t>L1</t>
  </si>
  <si>
    <t>21A 1.8uH Integrated molded inductor ±20% 25A SMD,7.8x7.6mm Power Inductors ROHS</t>
  </si>
  <si>
    <t>YSPIT0770A-1R8M</t>
  </si>
  <si>
    <t>YJYCOIN</t>
  </si>
  <si>
    <t>1.8uH</t>
  </si>
  <si>
    <t>LED</t>
  </si>
  <si>
    <t>LED1, LED2</t>
  </si>
  <si>
    <t>blue 0603 Light Emitting Diodes (LED) ROHS</t>
  </si>
  <si>
    <t>LED-0603</t>
  </si>
  <si>
    <t>NCD0603B3</t>
  </si>
  <si>
    <t>Foshan NationStar Optoelectronics</t>
  </si>
  <si>
    <t>LED3, LED4</t>
  </si>
  <si>
    <t>yellow 0603 Light Emitting Diodes (LED) ROHS</t>
  </si>
  <si>
    <t>NCD0603Y2</t>
  </si>
  <si>
    <t>Mosfet</t>
  </si>
  <si>
    <t>Q1</t>
  </si>
  <si>
    <t>25-V, N channel NexFET™ power MOSFET, single SON 2 mm x 2 mm, 29 mOhm 6-WSON -55 to 150</t>
  </si>
  <si>
    <t>CSD17313Q2</t>
  </si>
  <si>
    <t>CSD16301Q2</t>
  </si>
  <si>
    <t>Texas Instruments</t>
  </si>
  <si>
    <t>Q2</t>
  </si>
  <si>
    <t>MOSFET N-CH 12V 22A 6WSON</t>
  </si>
  <si>
    <t>CSD13202Q2</t>
  </si>
  <si>
    <t>Resistor</t>
  </si>
  <si>
    <t>R1, R5, R6, R7, R11, R13, R17, R25</t>
  </si>
  <si>
    <t>RES 10K OHM 1% 1/16W 0402</t>
  </si>
  <si>
    <t>Res-0402</t>
  </si>
  <si>
    <t>RC0402FR-0710KL</t>
  </si>
  <si>
    <t>10K</t>
  </si>
  <si>
    <t>R2</t>
  </si>
  <si>
    <t>RES 3.3K OHM 1% 1/16W 0402</t>
  </si>
  <si>
    <t>RC0402FR-073K3L</t>
  </si>
  <si>
    <t>3.3K</t>
  </si>
  <si>
    <t>R3, R4, R18, R19</t>
  </si>
  <si>
    <t>RES 1K OHM 5% 1/16W 0402</t>
  </si>
  <si>
    <t>RC0402JR-071KL</t>
  </si>
  <si>
    <t>1K</t>
  </si>
  <si>
    <t>R8, R9</t>
  </si>
  <si>
    <t>RES 5.1K OHM 1% 1/16W 0402</t>
  </si>
  <si>
    <t>RC0402FR-075K1L</t>
  </si>
  <si>
    <t>5.1K</t>
  </si>
  <si>
    <t>R10, R15</t>
  </si>
  <si>
    <t>DNF</t>
  </si>
  <si>
    <t>Resistors</t>
  </si>
  <si>
    <t>R12, R14</t>
  </si>
  <si>
    <t>RES 0 OHM JUMPER 1/16W 0402</t>
  </si>
  <si>
    <t>RC0402FR-070RL</t>
  </si>
  <si>
    <t>0R</t>
  </si>
  <si>
    <t>R16</t>
  </si>
  <si>
    <t>DNP</t>
  </si>
  <si>
    <t>R20</t>
  </si>
  <si>
    <t>RES 1.2K OHM 1% 1/16W 0402</t>
  </si>
  <si>
    <t>RC0402FR-071K2L</t>
  </si>
  <si>
    <t>1.2K</t>
  </si>
  <si>
    <t>R21, R22</t>
  </si>
  <si>
    <t>RES 470 OHM 1% 1/16W 0402</t>
  </si>
  <si>
    <t>RC0402FR-07470RL</t>
  </si>
  <si>
    <t>470R</t>
  </si>
  <si>
    <t>R23</t>
  </si>
  <si>
    <t>RES SMD 22.1KOHM 0.1% 1/16W 0402</t>
  </si>
  <si>
    <t>RT0402BRD0722K1L</t>
  </si>
  <si>
    <t>22.1K</t>
  </si>
  <si>
    <t>R24</t>
  </si>
  <si>
    <t>62.5mW Thick Film Resistors 50V ±100ppm/℃ ±1% 47.5kΩ 0402 Chip Resistor - Surface Mount ROHS</t>
  </si>
  <si>
    <t>0402WGF4752TCE</t>
  </si>
  <si>
    <t>Uniroyal</t>
  </si>
  <si>
    <t>47.5K</t>
  </si>
  <si>
    <t>R26, R27</t>
  </si>
  <si>
    <t>RES SMD 1 OHM 1% 1/10W 0603</t>
  </si>
  <si>
    <t>Res-0603</t>
  </si>
  <si>
    <t>CRCW06031R00FKEA</t>
  </si>
  <si>
    <t>Vishay Dale</t>
  </si>
  <si>
    <t>1R</t>
  </si>
  <si>
    <t>R28</t>
  </si>
  <si>
    <t>RES SMD 221K OHM 1% 1/10W 0603</t>
  </si>
  <si>
    <t>AC0603FR-07221KL</t>
  </si>
  <si>
    <t>221K</t>
  </si>
  <si>
    <t>R29, R32</t>
  </si>
  <si>
    <t>RES SMD 100K OHM 1% 1/10W 0603</t>
  </si>
  <si>
    <t>100K</t>
  </si>
  <si>
    <t>R30, R31</t>
  </si>
  <si>
    <t>RES SMD 102K OHM 0.1% 1/10W 0603</t>
  </si>
  <si>
    <t>RT0603BRE07102KL</t>
  </si>
  <si>
    <t>102K</t>
  </si>
  <si>
    <t>R33</t>
  </si>
  <si>
    <t>RES 49.9K OHM 1% 1/10W 0603</t>
  </si>
  <si>
    <t>RC0603FR-0749K9L</t>
  </si>
  <si>
    <t>49K9</t>
  </si>
  <si>
    <t>R34</t>
  </si>
  <si>
    <t>RES SMD 24.9KOHM 0.1% 1/16W 0402</t>
  </si>
  <si>
    <t>RT0402BRD0724K9L</t>
  </si>
  <si>
    <t>24.9K</t>
  </si>
  <si>
    <t>R35</t>
  </si>
  <si>
    <t>RES 27K OHM 1% 1/10W 0603</t>
  </si>
  <si>
    <t>RC0603FR-0727KL</t>
  </si>
  <si>
    <t>27K</t>
  </si>
  <si>
    <t>R36</t>
  </si>
  <si>
    <t>RES 43K OHM 1% 1/16W 0402</t>
  </si>
  <si>
    <t>RC0402FR-0743KL</t>
  </si>
  <si>
    <t>43k</t>
  </si>
  <si>
    <t>Ra</t>
  </si>
  <si>
    <t>RES SMD 1M OHM 1% 1/10W 0603</t>
  </si>
  <si>
    <t>RC0603FR-071ML</t>
  </si>
  <si>
    <t>1M</t>
  </si>
  <si>
    <t>LDO</t>
  </si>
  <si>
    <t>U1</t>
  </si>
  <si>
    <t>IC REG LINEAR 5V 1A SOT223-5</t>
  </si>
  <si>
    <t>SOT-223-5</t>
  </si>
  <si>
    <t>LP38692MP-5.0/NOPB</t>
  </si>
  <si>
    <t>IC</t>
  </si>
  <si>
    <t>U2</t>
  </si>
  <si>
    <t>IC MCU 8BIT 256KB FLASH 100TQFP</t>
  </si>
  <si>
    <t>TQFP-100(14x14)</t>
  </si>
  <si>
    <t>ATMEGA2560-16AU</t>
  </si>
  <si>
    <t>Microchip</t>
  </si>
  <si>
    <t>U3, U4, U5</t>
  </si>
  <si>
    <t>IC MOTOR DRIVER PAR 16QFN</t>
  </si>
  <si>
    <t>QFN-16-EP(4x4)</t>
  </si>
  <si>
    <t>DRV8833RTYR</t>
  </si>
  <si>
    <t>U6</t>
  </si>
  <si>
    <t>IC USB TO UART BRIDGE QFN24</t>
  </si>
  <si>
    <t>24-QFN (4x4)</t>
  </si>
  <si>
    <t>CP2102N-A02-GQFN24R</t>
  </si>
  <si>
    <t>Silicon Labs</t>
  </si>
  <si>
    <t>U7</t>
  </si>
  <si>
    <t>36-V, 16-A buck-boost converter, AEC-Q100 qualified 26-VQFN-HR -40 to 150</t>
  </si>
  <si>
    <t>26-VQFN-HR (4x3.5)</t>
  </si>
  <si>
    <t>TPS552882QRPMRQ1</t>
  </si>
  <si>
    <t>Crystal</t>
  </si>
  <si>
    <t>X1</t>
  </si>
  <si>
    <t>16MHz SMD Crystal Resonator 9pF ±10ppm ±30ppm -40℃~+85℃ SMD3225-4P Crystals ROHS</t>
  </si>
  <si>
    <t>SMD3225-4P</t>
  </si>
  <si>
    <t>X322516MLB4SI</t>
  </si>
  <si>
    <t>Yangxing Tech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</si>
</sst>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4"/>
  <sheetViews>
    <sheetView tabSelected="1" topLeftCell="D4" workbookViewId="0">
      <selection activeCell="I59" sqref="I59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6"/>
      <c r="J1" s="16"/>
      <c r="K1" s="16"/>
    </row>
    <row r="2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ht="15.75" spans="1:11">
      <c r="A4" s="2"/>
      <c r="B4" s="7">
        <f>ROW(B4)-ROW($B$2)</f>
        <v>2</v>
      </c>
      <c r="C4" s="11" t="s">
        <v>10</v>
      </c>
      <c r="D4" s="12" t="s">
        <v>17</v>
      </c>
      <c r="E4" s="13" t="s">
        <v>18</v>
      </c>
      <c r="F4" s="12" t="s">
        <v>13</v>
      </c>
      <c r="G4" s="13" t="s">
        <v>19</v>
      </c>
      <c r="H4" s="12" t="s">
        <v>15</v>
      </c>
      <c r="I4" s="13" t="s">
        <v>20</v>
      </c>
      <c r="J4" s="12">
        <v>1</v>
      </c>
      <c r="K4" s="12"/>
    </row>
    <row r="5" ht="24.75" spans="1:11">
      <c r="A5" s="2"/>
      <c r="B5" s="7">
        <f>ROW(B5)-ROW($B$2)</f>
        <v>3</v>
      </c>
      <c r="C5" s="8" t="s">
        <v>10</v>
      </c>
      <c r="D5" s="9" t="s">
        <v>21</v>
      </c>
      <c r="E5" s="10" t="s">
        <v>22</v>
      </c>
      <c r="F5" s="9" t="s">
        <v>13</v>
      </c>
      <c r="G5" s="10" t="s">
        <v>23</v>
      </c>
      <c r="H5" s="9" t="s">
        <v>15</v>
      </c>
      <c r="I5" s="10" t="s">
        <v>24</v>
      </c>
      <c r="J5" s="9">
        <v>15</v>
      </c>
      <c r="K5" s="9"/>
    </row>
    <row r="6" ht="24.75" spans="1:11">
      <c r="A6" s="2"/>
      <c r="B6" s="7">
        <f>ROW(B6)-ROW($B$2)</f>
        <v>4</v>
      </c>
      <c r="C6" s="11" t="s">
        <v>10</v>
      </c>
      <c r="D6" s="12" t="s">
        <v>25</v>
      </c>
      <c r="E6" s="13" t="s">
        <v>26</v>
      </c>
      <c r="F6" s="12" t="s">
        <v>27</v>
      </c>
      <c r="G6" s="13" t="s">
        <v>28</v>
      </c>
      <c r="H6" s="12" t="s">
        <v>29</v>
      </c>
      <c r="I6" s="13" t="s">
        <v>30</v>
      </c>
      <c r="J6" s="12">
        <v>1</v>
      </c>
      <c r="K6" s="12"/>
    </row>
    <row r="7" ht="15.75" spans="1:11">
      <c r="A7" s="2"/>
      <c r="B7" s="7">
        <f>ROW(B7)-ROW($B$2)</f>
        <v>5</v>
      </c>
      <c r="C7" s="8" t="s">
        <v>10</v>
      </c>
      <c r="D7" s="9" t="s">
        <v>31</v>
      </c>
      <c r="E7" s="10" t="s">
        <v>32</v>
      </c>
      <c r="F7" s="9" t="s">
        <v>13</v>
      </c>
      <c r="G7" s="10" t="s">
        <v>33</v>
      </c>
      <c r="H7" s="9" t="s">
        <v>15</v>
      </c>
      <c r="I7" s="10" t="s">
        <v>34</v>
      </c>
      <c r="J7" s="9">
        <v>5</v>
      </c>
      <c r="K7" s="9"/>
    </row>
    <row r="8" ht="15.75" spans="1:11">
      <c r="A8" s="2"/>
      <c r="B8" s="7">
        <f>ROW(B8)-ROW($B$2)</f>
        <v>6</v>
      </c>
      <c r="C8" s="11" t="s">
        <v>10</v>
      </c>
      <c r="D8" s="12" t="s">
        <v>35</v>
      </c>
      <c r="E8" s="13" t="s">
        <v>36</v>
      </c>
      <c r="F8" s="12" t="s">
        <v>13</v>
      </c>
      <c r="G8" s="13" t="s">
        <v>37</v>
      </c>
      <c r="H8" s="12" t="s">
        <v>38</v>
      </c>
      <c r="I8" s="13" t="s">
        <v>39</v>
      </c>
      <c r="J8" s="12">
        <v>3</v>
      </c>
      <c r="K8" s="12"/>
    </row>
    <row r="9" ht="15.75" spans="1:11">
      <c r="A9" s="2"/>
      <c r="B9" s="7">
        <f>ROW(B9)-ROW($B$2)</f>
        <v>7</v>
      </c>
      <c r="C9" s="8" t="s">
        <v>10</v>
      </c>
      <c r="D9" s="9" t="s">
        <v>40</v>
      </c>
      <c r="E9" s="10" t="s">
        <v>41</v>
      </c>
      <c r="F9" s="9" t="s">
        <v>42</v>
      </c>
      <c r="G9" s="10" t="s">
        <v>43</v>
      </c>
      <c r="H9" s="9" t="s">
        <v>15</v>
      </c>
      <c r="I9" s="10" t="s">
        <v>44</v>
      </c>
      <c r="J9" s="9">
        <v>1</v>
      </c>
      <c r="K9" s="9"/>
    </row>
    <row r="10" ht="15.75" spans="1:11">
      <c r="A10" s="2"/>
      <c r="B10" s="7">
        <f>ROW(B10)-ROW($B$2)</f>
        <v>8</v>
      </c>
      <c r="C10" s="11" t="s">
        <v>10</v>
      </c>
      <c r="D10" s="12" t="s">
        <v>45</v>
      </c>
      <c r="E10" s="13" t="s">
        <v>46</v>
      </c>
      <c r="F10" s="12" t="s">
        <v>13</v>
      </c>
      <c r="G10" s="13" t="s">
        <v>47</v>
      </c>
      <c r="H10" s="12" t="s">
        <v>15</v>
      </c>
      <c r="I10" s="13" t="s">
        <v>48</v>
      </c>
      <c r="J10" s="12">
        <v>2</v>
      </c>
      <c r="K10" s="12"/>
    </row>
    <row r="11" ht="15.75" spans="1:11">
      <c r="A11" s="2"/>
      <c r="B11" s="7">
        <f>ROW(B11)-ROW($B$2)</f>
        <v>9</v>
      </c>
      <c r="C11" s="11" t="s">
        <v>10</v>
      </c>
      <c r="D11" s="9" t="s">
        <v>49</v>
      </c>
      <c r="E11" s="10" t="s">
        <v>50</v>
      </c>
      <c r="F11" s="9" t="s">
        <v>13</v>
      </c>
      <c r="G11" s="10" t="s">
        <v>51</v>
      </c>
      <c r="H11" s="9" t="s">
        <v>15</v>
      </c>
      <c r="I11" s="10" t="s">
        <v>52</v>
      </c>
      <c r="J11" s="9">
        <v>2</v>
      </c>
      <c r="K11" s="9"/>
    </row>
    <row r="12" ht="15.75" spans="1:11">
      <c r="A12" s="2"/>
      <c r="B12" s="7">
        <f>ROW(B12)-ROW($B$2)</f>
        <v>10</v>
      </c>
      <c r="C12" s="11" t="s">
        <v>10</v>
      </c>
      <c r="D12" s="12" t="s">
        <v>53</v>
      </c>
      <c r="E12" s="13" t="s">
        <v>54</v>
      </c>
      <c r="F12" s="12" t="s">
        <v>55</v>
      </c>
      <c r="G12" s="13" t="s">
        <v>56</v>
      </c>
      <c r="H12" s="12" t="s">
        <v>57</v>
      </c>
      <c r="I12" s="13" t="s">
        <v>58</v>
      </c>
      <c r="J12" s="12">
        <v>3</v>
      </c>
      <c r="K12" s="12"/>
    </row>
    <row r="13" ht="15.75" spans="1:11">
      <c r="A13" s="2"/>
      <c r="B13" s="7">
        <f>ROW(B13)-ROW($B$2)</f>
        <v>11</v>
      </c>
      <c r="C13" s="8" t="s">
        <v>59</v>
      </c>
      <c r="D13" s="9" t="s">
        <v>60</v>
      </c>
      <c r="E13" s="10" t="s">
        <v>61</v>
      </c>
      <c r="F13" s="9" t="s">
        <v>62</v>
      </c>
      <c r="G13" s="10" t="s">
        <v>63</v>
      </c>
      <c r="H13" s="9" t="s">
        <v>64</v>
      </c>
      <c r="I13" s="10" t="s">
        <v>65</v>
      </c>
      <c r="J13" s="9">
        <v>4</v>
      </c>
      <c r="K13" s="9"/>
    </row>
    <row r="14" ht="15.75" spans="1:11">
      <c r="A14" s="2"/>
      <c r="B14" s="7">
        <f>ROW(B14)-ROW($B$2)</f>
        <v>12</v>
      </c>
      <c r="C14" s="11" t="s">
        <v>10</v>
      </c>
      <c r="D14" s="12" t="s">
        <v>66</v>
      </c>
      <c r="E14" s="13" t="s">
        <v>67</v>
      </c>
      <c r="F14" s="12" t="s">
        <v>27</v>
      </c>
      <c r="G14" s="13" t="s">
        <v>68</v>
      </c>
      <c r="H14" s="12" t="s">
        <v>69</v>
      </c>
      <c r="I14" s="13" t="s">
        <v>70</v>
      </c>
      <c r="J14" s="12">
        <v>1</v>
      </c>
      <c r="K14" s="12"/>
    </row>
    <row r="15" ht="15.75" spans="1:11">
      <c r="A15" s="2"/>
      <c r="B15" s="7">
        <f>ROW(B15)-ROW($B$2)</f>
        <v>13</v>
      </c>
      <c r="C15" s="8" t="s">
        <v>59</v>
      </c>
      <c r="D15" s="9" t="s">
        <v>71</v>
      </c>
      <c r="E15" s="10" t="s">
        <v>72</v>
      </c>
      <c r="F15" s="9" t="s">
        <v>62</v>
      </c>
      <c r="G15" s="10" t="s">
        <v>73</v>
      </c>
      <c r="H15" s="9" t="s">
        <v>38</v>
      </c>
      <c r="I15" s="10" t="s">
        <v>52</v>
      </c>
      <c r="J15" s="9">
        <v>1</v>
      </c>
      <c r="K15" s="9"/>
    </row>
    <row r="16" ht="15.75" spans="1:11">
      <c r="A16" s="2"/>
      <c r="B16" s="7">
        <f>ROW(B16)-ROW($B$2)</f>
        <v>14</v>
      </c>
      <c r="C16" s="11" t="s">
        <v>10</v>
      </c>
      <c r="D16" s="12" t="s">
        <v>74</v>
      </c>
      <c r="E16" s="13" t="s">
        <v>75</v>
      </c>
      <c r="F16" s="12" t="s">
        <v>62</v>
      </c>
      <c r="G16" s="13" t="s">
        <v>76</v>
      </c>
      <c r="H16" s="12" t="s">
        <v>15</v>
      </c>
      <c r="I16" s="13" t="s">
        <v>44</v>
      </c>
      <c r="J16" s="12">
        <v>1</v>
      </c>
      <c r="K16" s="12"/>
    </row>
    <row r="17" spans="1:11">
      <c r="A17" s="2"/>
      <c r="B17" s="7">
        <f>ROW(B17)-ROW($B$2)</f>
        <v>15</v>
      </c>
      <c r="C17" s="8" t="s">
        <v>10</v>
      </c>
      <c r="D17" s="9" t="s">
        <v>77</v>
      </c>
      <c r="E17" s="10" t="s">
        <v>78</v>
      </c>
      <c r="F17" s="9" t="s">
        <v>62</v>
      </c>
      <c r="G17" s="10" t="s">
        <v>79</v>
      </c>
      <c r="H17" s="9" t="s">
        <v>15</v>
      </c>
      <c r="I17" s="10" t="s">
        <v>80</v>
      </c>
      <c r="J17" s="9">
        <v>1</v>
      </c>
      <c r="K17" s="9"/>
    </row>
    <row r="18" spans="1:11">
      <c r="A18" s="2"/>
      <c r="B18" s="7">
        <f>ROW(B18)-ROW($B$2)</f>
        <v>16</v>
      </c>
      <c r="C18" s="11" t="s">
        <v>81</v>
      </c>
      <c r="D18" s="12" t="s">
        <v>82</v>
      </c>
      <c r="E18" s="13" t="s">
        <v>83</v>
      </c>
      <c r="F18" s="12" t="s">
        <v>84</v>
      </c>
      <c r="G18" s="13" t="s">
        <v>85</v>
      </c>
      <c r="H18" s="12" t="s">
        <v>86</v>
      </c>
      <c r="I18" s="13" t="s">
        <v>87</v>
      </c>
      <c r="J18" s="12">
        <v>1</v>
      </c>
      <c r="K18" s="12"/>
    </row>
    <row r="19" spans="1:11">
      <c r="A19" s="2"/>
      <c r="B19" s="7">
        <f>ROW(B19)-ROW($B$2)</f>
        <v>17</v>
      </c>
      <c r="C19" s="11" t="s">
        <v>81</v>
      </c>
      <c r="D19" s="9" t="s">
        <v>88</v>
      </c>
      <c r="E19" s="10" t="s">
        <v>89</v>
      </c>
      <c r="F19" s="9" t="s">
        <v>90</v>
      </c>
      <c r="G19" s="10" t="s">
        <v>91</v>
      </c>
      <c r="H19" s="9" t="s">
        <v>92</v>
      </c>
      <c r="I19" s="13" t="s">
        <v>87</v>
      </c>
      <c r="J19" s="9">
        <v>2</v>
      </c>
      <c r="K19" s="9"/>
    </row>
    <row r="20" ht="24.75" spans="1:11">
      <c r="A20" s="2"/>
      <c r="B20" s="7">
        <f>ROW(B20)-ROW($B$2)</f>
        <v>18</v>
      </c>
      <c r="C20" s="11" t="s">
        <v>81</v>
      </c>
      <c r="D20" s="12" t="s">
        <v>93</v>
      </c>
      <c r="E20" s="13" t="s">
        <v>94</v>
      </c>
      <c r="F20" s="12" t="s">
        <v>95</v>
      </c>
      <c r="G20" s="13" t="s">
        <v>96</v>
      </c>
      <c r="H20" s="12" t="s">
        <v>97</v>
      </c>
      <c r="I20" s="13" t="s">
        <v>87</v>
      </c>
      <c r="J20" s="12">
        <v>1</v>
      </c>
      <c r="K20" s="12"/>
    </row>
    <row r="21" ht="48.75" spans="1:11">
      <c r="A21" s="2"/>
      <c r="B21" s="7">
        <f>ROW(B21)-ROW($B$2)</f>
        <v>19</v>
      </c>
      <c r="C21" s="8" t="s">
        <v>98</v>
      </c>
      <c r="D21" s="9" t="s">
        <v>99</v>
      </c>
      <c r="E21" s="10" t="s">
        <v>100</v>
      </c>
      <c r="F21" s="9" t="s">
        <v>101</v>
      </c>
      <c r="G21" s="10" t="s">
        <v>101</v>
      </c>
      <c r="H21" s="9" t="s">
        <v>102</v>
      </c>
      <c r="I21" s="13" t="s">
        <v>87</v>
      </c>
      <c r="J21" s="9">
        <v>1</v>
      </c>
      <c r="K21" s="9"/>
    </row>
    <row r="22" ht="24.75" spans="1:11">
      <c r="A22" s="2"/>
      <c r="B22" s="7">
        <f>ROW(B22)-ROW($B$2)</f>
        <v>20</v>
      </c>
      <c r="C22" s="11" t="s">
        <v>103</v>
      </c>
      <c r="D22" s="12" t="s">
        <v>104</v>
      </c>
      <c r="E22" s="13" t="s">
        <v>105</v>
      </c>
      <c r="F22" s="12" t="s">
        <v>106</v>
      </c>
      <c r="G22" s="13" t="s">
        <v>107</v>
      </c>
      <c r="H22" s="12" t="s">
        <v>108</v>
      </c>
      <c r="I22" s="13" t="s">
        <v>87</v>
      </c>
      <c r="J22" s="12">
        <v>1</v>
      </c>
      <c r="K22" s="12"/>
    </row>
    <row r="23" spans="1:11">
      <c r="A23" s="2"/>
      <c r="B23" s="7">
        <f>ROW(B23)-ROW($B$2)</f>
        <v>21</v>
      </c>
      <c r="C23" s="8" t="s">
        <v>109</v>
      </c>
      <c r="D23" s="9" t="s">
        <v>110</v>
      </c>
      <c r="E23" s="10" t="s">
        <v>111</v>
      </c>
      <c r="F23" s="9" t="s">
        <v>112</v>
      </c>
      <c r="G23" s="10" t="s">
        <v>112</v>
      </c>
      <c r="H23" s="9" t="s">
        <v>113</v>
      </c>
      <c r="I23" s="13" t="s">
        <v>87</v>
      </c>
      <c r="J23" s="9">
        <v>6</v>
      </c>
      <c r="K23" s="9"/>
    </row>
    <row r="24" ht="36.75" spans="1:11">
      <c r="A24" s="2"/>
      <c r="B24" s="7">
        <f>ROW(B24)-ROW($B$2)</f>
        <v>22</v>
      </c>
      <c r="C24" s="11" t="s">
        <v>114</v>
      </c>
      <c r="D24" s="12" t="s">
        <v>115</v>
      </c>
      <c r="E24" s="13" t="s">
        <v>116</v>
      </c>
      <c r="F24" s="12" t="s">
        <v>117</v>
      </c>
      <c r="G24" s="13" t="s">
        <v>117</v>
      </c>
      <c r="H24" s="12" t="s">
        <v>118</v>
      </c>
      <c r="I24" s="13" t="s">
        <v>119</v>
      </c>
      <c r="J24" s="12">
        <v>1</v>
      </c>
      <c r="K24" s="12"/>
    </row>
    <row r="25" ht="24.75" spans="1:11">
      <c r="A25" s="2"/>
      <c r="B25" s="7">
        <f>ROW(B25)-ROW($B$2)</f>
        <v>23</v>
      </c>
      <c r="C25" s="8" t="s">
        <v>120</v>
      </c>
      <c r="D25" s="9" t="s">
        <v>121</v>
      </c>
      <c r="E25" s="10" t="s">
        <v>122</v>
      </c>
      <c r="F25" s="9" t="s">
        <v>123</v>
      </c>
      <c r="G25" s="10" t="s">
        <v>124</v>
      </c>
      <c r="H25" s="9" t="s">
        <v>125</v>
      </c>
      <c r="I25" s="10" t="s">
        <v>87</v>
      </c>
      <c r="J25" s="9">
        <v>2</v>
      </c>
      <c r="K25" s="9"/>
    </row>
    <row r="26" ht="24.75" spans="1:11">
      <c r="A26" s="2"/>
      <c r="B26" s="7">
        <f>ROW(B26)-ROW($B$2)</f>
        <v>24</v>
      </c>
      <c r="C26" s="11" t="s">
        <v>120</v>
      </c>
      <c r="D26" s="12" t="s">
        <v>126</v>
      </c>
      <c r="E26" s="13" t="s">
        <v>127</v>
      </c>
      <c r="F26" s="12" t="s">
        <v>123</v>
      </c>
      <c r="G26" s="13" t="s">
        <v>128</v>
      </c>
      <c r="H26" s="12" t="s">
        <v>125</v>
      </c>
      <c r="I26" s="10" t="s">
        <v>87</v>
      </c>
      <c r="J26" s="12">
        <v>2</v>
      </c>
      <c r="K26" s="12"/>
    </row>
    <row r="27" ht="36.75" spans="1:11">
      <c r="A27" s="2"/>
      <c r="B27" s="7">
        <f>ROW(B27)-ROW($B$2)</f>
        <v>25</v>
      </c>
      <c r="C27" s="8" t="s">
        <v>129</v>
      </c>
      <c r="D27" s="9" t="s">
        <v>130</v>
      </c>
      <c r="E27" s="10" t="s">
        <v>131</v>
      </c>
      <c r="F27" s="9" t="s">
        <v>132</v>
      </c>
      <c r="G27" s="10" t="s">
        <v>133</v>
      </c>
      <c r="H27" s="9" t="s">
        <v>134</v>
      </c>
      <c r="I27" s="10" t="s">
        <v>87</v>
      </c>
      <c r="J27" s="9">
        <v>1</v>
      </c>
      <c r="K27" s="9"/>
    </row>
    <row r="28" spans="1:11">
      <c r="A28" s="2"/>
      <c r="B28" s="7">
        <f>ROW(B28)-ROW($B$2)</f>
        <v>26</v>
      </c>
      <c r="C28" s="11" t="s">
        <v>129</v>
      </c>
      <c r="D28" s="12" t="s">
        <v>135</v>
      </c>
      <c r="E28" s="13" t="s">
        <v>136</v>
      </c>
      <c r="F28" s="12" t="s">
        <v>132</v>
      </c>
      <c r="G28" s="13" t="s">
        <v>137</v>
      </c>
      <c r="H28" s="12" t="s">
        <v>134</v>
      </c>
      <c r="I28" s="10" t="s">
        <v>87</v>
      </c>
      <c r="J28" s="12">
        <v>1</v>
      </c>
      <c r="K28" s="12"/>
    </row>
    <row r="29" spans="1:11">
      <c r="A29" s="2"/>
      <c r="B29" s="7">
        <f>ROW(B29)-ROW($B$2)</f>
        <v>27</v>
      </c>
      <c r="C29" s="8" t="s">
        <v>138</v>
      </c>
      <c r="D29" s="9" t="s">
        <v>139</v>
      </c>
      <c r="E29" s="10" t="s">
        <v>140</v>
      </c>
      <c r="F29" s="9" t="s">
        <v>141</v>
      </c>
      <c r="G29" s="10" t="s">
        <v>142</v>
      </c>
      <c r="H29" s="9" t="s">
        <v>15</v>
      </c>
      <c r="I29" s="10" t="s">
        <v>143</v>
      </c>
      <c r="J29" s="9">
        <v>8</v>
      </c>
      <c r="K29" s="9"/>
    </row>
    <row r="30" ht="15.75" spans="1:11">
      <c r="A30" s="2"/>
      <c r="B30" s="7">
        <f>ROW(B30)-ROW($B$2)</f>
        <v>28</v>
      </c>
      <c r="C30" s="11" t="s">
        <v>138</v>
      </c>
      <c r="D30" s="12" t="s">
        <v>144</v>
      </c>
      <c r="E30" s="13" t="s">
        <v>145</v>
      </c>
      <c r="F30" s="12" t="s">
        <v>141</v>
      </c>
      <c r="G30" s="13" t="s">
        <v>146</v>
      </c>
      <c r="H30" s="12" t="s">
        <v>15</v>
      </c>
      <c r="I30" s="13" t="s">
        <v>147</v>
      </c>
      <c r="J30" s="12">
        <v>1</v>
      </c>
      <c r="K30" s="12"/>
    </row>
    <row r="31" ht="15.75" spans="1:11">
      <c r="A31" s="2"/>
      <c r="B31" s="7">
        <f>ROW(B31)-ROW($B$2)</f>
        <v>29</v>
      </c>
      <c r="C31" s="8" t="s">
        <v>138</v>
      </c>
      <c r="D31" s="9" t="s">
        <v>148</v>
      </c>
      <c r="E31" s="10" t="s">
        <v>149</v>
      </c>
      <c r="F31" s="9" t="s">
        <v>141</v>
      </c>
      <c r="G31" s="10" t="s">
        <v>150</v>
      </c>
      <c r="H31" s="9" t="s">
        <v>15</v>
      </c>
      <c r="I31" s="10" t="s">
        <v>151</v>
      </c>
      <c r="J31" s="9">
        <v>4</v>
      </c>
      <c r="K31" s="9"/>
    </row>
    <row r="32" ht="15.75" spans="1:11">
      <c r="A32" s="2"/>
      <c r="B32" s="7">
        <f>ROW(B32)-ROW($B$2)</f>
        <v>30</v>
      </c>
      <c r="C32" s="11" t="s">
        <v>138</v>
      </c>
      <c r="D32" s="12" t="s">
        <v>152</v>
      </c>
      <c r="E32" s="13" t="s">
        <v>153</v>
      </c>
      <c r="F32" s="12" t="s">
        <v>141</v>
      </c>
      <c r="G32" s="13" t="s">
        <v>154</v>
      </c>
      <c r="H32" s="12" t="s">
        <v>15</v>
      </c>
      <c r="I32" s="13" t="s">
        <v>155</v>
      </c>
      <c r="J32" s="12">
        <v>2</v>
      </c>
      <c r="K32" s="12"/>
    </row>
    <row r="33" ht="15.75" spans="1:11">
      <c r="A33" s="2"/>
      <c r="B33" s="7">
        <f>ROW(B33)-ROW($B$2)</f>
        <v>31</v>
      </c>
      <c r="C33" s="8" t="s">
        <v>138</v>
      </c>
      <c r="D33" s="14" t="s">
        <v>156</v>
      </c>
      <c r="E33" s="15" t="s">
        <v>140</v>
      </c>
      <c r="F33" s="14" t="s">
        <v>141</v>
      </c>
      <c r="G33" s="15" t="s">
        <v>142</v>
      </c>
      <c r="H33" s="14" t="s">
        <v>15</v>
      </c>
      <c r="I33" s="15" t="s">
        <v>157</v>
      </c>
      <c r="J33" s="14">
        <v>2</v>
      </c>
      <c r="K33" s="9"/>
    </row>
    <row r="34" ht="15.75" spans="1:11">
      <c r="A34" s="2"/>
      <c r="B34" s="7">
        <f>ROW(B34)-ROW($B$2)</f>
        <v>32</v>
      </c>
      <c r="C34" s="11" t="s">
        <v>158</v>
      </c>
      <c r="D34" s="12" t="s">
        <v>159</v>
      </c>
      <c r="E34" s="13" t="s">
        <v>160</v>
      </c>
      <c r="F34" s="12" t="s">
        <v>141</v>
      </c>
      <c r="G34" s="13" t="s">
        <v>161</v>
      </c>
      <c r="H34" s="12" t="s">
        <v>15</v>
      </c>
      <c r="I34" s="13" t="s">
        <v>162</v>
      </c>
      <c r="J34" s="12">
        <v>2</v>
      </c>
      <c r="K34" s="12"/>
    </row>
    <row r="35" ht="15.75" spans="1:11">
      <c r="A35" s="2"/>
      <c r="B35" s="7">
        <f>ROW(B35)-ROW($B$2)</f>
        <v>33</v>
      </c>
      <c r="C35" s="8" t="s">
        <v>138</v>
      </c>
      <c r="D35" s="14" t="s">
        <v>163</v>
      </c>
      <c r="E35" s="15" t="s">
        <v>140</v>
      </c>
      <c r="F35" s="14" t="s">
        <v>141</v>
      </c>
      <c r="G35" s="15" t="s">
        <v>142</v>
      </c>
      <c r="H35" s="14" t="s">
        <v>15</v>
      </c>
      <c r="I35" s="15" t="s">
        <v>164</v>
      </c>
      <c r="J35" s="14">
        <v>1</v>
      </c>
      <c r="K35" s="9"/>
    </row>
    <row r="36" ht="15.75" spans="1:11">
      <c r="A36" s="2"/>
      <c r="B36" s="7">
        <f>ROW(B36)-ROW($B$2)</f>
        <v>34</v>
      </c>
      <c r="C36" s="11" t="s">
        <v>138</v>
      </c>
      <c r="D36" s="12" t="s">
        <v>165</v>
      </c>
      <c r="E36" s="13" t="s">
        <v>166</v>
      </c>
      <c r="F36" s="12" t="s">
        <v>141</v>
      </c>
      <c r="G36" s="13" t="s">
        <v>167</v>
      </c>
      <c r="H36" s="12" t="s">
        <v>15</v>
      </c>
      <c r="I36" s="13" t="s">
        <v>168</v>
      </c>
      <c r="J36" s="12">
        <v>1</v>
      </c>
      <c r="K36" s="12"/>
    </row>
    <row r="37" ht="15.75" spans="1:11">
      <c r="A37" s="2"/>
      <c r="B37" s="7">
        <f>ROW(B37)-ROW($B$2)</f>
        <v>35</v>
      </c>
      <c r="C37" s="8" t="s">
        <v>138</v>
      </c>
      <c r="D37" s="9" t="s">
        <v>169</v>
      </c>
      <c r="E37" s="10" t="s">
        <v>170</v>
      </c>
      <c r="F37" s="9" t="s">
        <v>141</v>
      </c>
      <c r="G37" s="10" t="s">
        <v>171</v>
      </c>
      <c r="H37" s="9" t="s">
        <v>15</v>
      </c>
      <c r="I37" s="10" t="s">
        <v>172</v>
      </c>
      <c r="J37" s="9">
        <v>2</v>
      </c>
      <c r="K37" s="9"/>
    </row>
    <row r="38" ht="15.75" spans="1:11">
      <c r="A38" s="2"/>
      <c r="B38" s="7">
        <f>ROW(B38)-ROW($B$2)</f>
        <v>36</v>
      </c>
      <c r="C38" s="11" t="s">
        <v>138</v>
      </c>
      <c r="D38" s="12" t="s">
        <v>173</v>
      </c>
      <c r="E38" s="13" t="s">
        <v>174</v>
      </c>
      <c r="F38" s="12" t="s">
        <v>141</v>
      </c>
      <c r="G38" s="13" t="s">
        <v>175</v>
      </c>
      <c r="H38" s="12" t="s">
        <v>15</v>
      </c>
      <c r="I38" s="13" t="s">
        <v>176</v>
      </c>
      <c r="J38" s="12">
        <v>1</v>
      </c>
      <c r="K38" s="12"/>
    </row>
    <row r="39" ht="36.75" spans="1:11">
      <c r="A39" s="2"/>
      <c r="B39" s="7">
        <f>ROW(B39)-ROW($B$2)</f>
        <v>37</v>
      </c>
      <c r="C39" s="8" t="s">
        <v>138</v>
      </c>
      <c r="D39" s="9" t="s">
        <v>177</v>
      </c>
      <c r="E39" s="10" t="s">
        <v>178</v>
      </c>
      <c r="F39" s="9" t="s">
        <v>141</v>
      </c>
      <c r="G39" s="10" t="s">
        <v>179</v>
      </c>
      <c r="H39" s="9" t="s">
        <v>180</v>
      </c>
      <c r="I39" s="10" t="s">
        <v>181</v>
      </c>
      <c r="J39" s="9">
        <v>1</v>
      </c>
      <c r="K39" s="9"/>
    </row>
    <row r="40" ht="15.75" spans="1:11">
      <c r="A40" s="2"/>
      <c r="B40" s="7">
        <f>ROW(B40)-ROW($B$2)</f>
        <v>38</v>
      </c>
      <c r="C40" s="11" t="s">
        <v>138</v>
      </c>
      <c r="D40" s="12" t="s">
        <v>182</v>
      </c>
      <c r="E40" s="13" t="s">
        <v>183</v>
      </c>
      <c r="F40" s="12" t="s">
        <v>184</v>
      </c>
      <c r="G40" s="13" t="s">
        <v>185</v>
      </c>
      <c r="H40" s="12" t="s">
        <v>186</v>
      </c>
      <c r="I40" s="13" t="s">
        <v>187</v>
      </c>
      <c r="J40" s="12">
        <v>2</v>
      </c>
      <c r="K40" s="12"/>
    </row>
    <row r="41" ht="15.75" spans="1:11">
      <c r="A41" s="2"/>
      <c r="B41" s="7">
        <f>ROW(B41)-ROW($B$2)</f>
        <v>39</v>
      </c>
      <c r="C41" s="8" t="s">
        <v>138</v>
      </c>
      <c r="D41" s="9" t="s">
        <v>188</v>
      </c>
      <c r="E41" s="10" t="s">
        <v>189</v>
      </c>
      <c r="F41" s="9" t="s">
        <v>184</v>
      </c>
      <c r="G41" s="10" t="s">
        <v>190</v>
      </c>
      <c r="H41" s="9" t="s">
        <v>15</v>
      </c>
      <c r="I41" s="10" t="s">
        <v>191</v>
      </c>
      <c r="J41" s="9">
        <v>1</v>
      </c>
      <c r="K41" s="9"/>
    </row>
    <row r="42" ht="15.75" spans="1:11">
      <c r="A42" s="2"/>
      <c r="B42" s="7">
        <f>ROW(B42)-ROW($B$2)</f>
        <v>40</v>
      </c>
      <c r="C42" s="11" t="s">
        <v>138</v>
      </c>
      <c r="D42" s="12" t="s">
        <v>192</v>
      </c>
      <c r="E42" s="13" t="s">
        <v>193</v>
      </c>
      <c r="F42" s="12" t="s">
        <v>184</v>
      </c>
      <c r="G42" s="13"/>
      <c r="H42" s="12"/>
      <c r="I42" s="13" t="s">
        <v>194</v>
      </c>
      <c r="J42" s="12">
        <v>2</v>
      </c>
      <c r="K42" s="12"/>
    </row>
    <row r="43" ht="15.75" spans="1:11">
      <c r="A43" s="2"/>
      <c r="B43" s="7">
        <f>ROW(B43)-ROW($B$2)</f>
        <v>41</v>
      </c>
      <c r="C43" s="8" t="s">
        <v>138</v>
      </c>
      <c r="D43" s="9" t="s">
        <v>195</v>
      </c>
      <c r="E43" s="10" t="s">
        <v>196</v>
      </c>
      <c r="F43" s="9" t="s">
        <v>184</v>
      </c>
      <c r="G43" s="10" t="s">
        <v>197</v>
      </c>
      <c r="H43" s="9" t="s">
        <v>15</v>
      </c>
      <c r="I43" s="10" t="s">
        <v>198</v>
      </c>
      <c r="J43" s="9">
        <v>2</v>
      </c>
      <c r="K43" s="9"/>
    </row>
    <row r="44" ht="15.75" spans="1:11">
      <c r="A44" s="2"/>
      <c r="B44" s="7">
        <f>ROW(B44)-ROW($B$2)</f>
        <v>42</v>
      </c>
      <c r="C44" s="11" t="s">
        <v>138</v>
      </c>
      <c r="D44" s="12" t="s">
        <v>199</v>
      </c>
      <c r="E44" s="13" t="s">
        <v>200</v>
      </c>
      <c r="F44" s="12" t="s">
        <v>184</v>
      </c>
      <c r="G44" s="13" t="s">
        <v>201</v>
      </c>
      <c r="H44" s="12" t="s">
        <v>15</v>
      </c>
      <c r="I44" s="13" t="s">
        <v>202</v>
      </c>
      <c r="J44" s="12">
        <v>1</v>
      </c>
      <c r="K44" s="12"/>
    </row>
    <row r="45" ht="15.75" spans="1:11">
      <c r="A45" s="2"/>
      <c r="B45" s="7">
        <f>ROW(B45)-ROW($B$2)</f>
        <v>43</v>
      </c>
      <c r="C45" s="8" t="s">
        <v>158</v>
      </c>
      <c r="D45" s="9" t="s">
        <v>203</v>
      </c>
      <c r="E45" s="10" t="s">
        <v>204</v>
      </c>
      <c r="F45" s="9" t="s">
        <v>141</v>
      </c>
      <c r="G45" s="10" t="s">
        <v>205</v>
      </c>
      <c r="H45" s="9" t="s">
        <v>15</v>
      </c>
      <c r="I45" s="10" t="s">
        <v>206</v>
      </c>
      <c r="J45" s="9">
        <v>1</v>
      </c>
      <c r="K45" s="9"/>
    </row>
    <row r="46" ht="15.75" spans="1:11">
      <c r="A46" s="2"/>
      <c r="B46" s="7">
        <f>ROW(B46)-ROW($B$2)</f>
        <v>44</v>
      </c>
      <c r="C46" s="8" t="s">
        <v>158</v>
      </c>
      <c r="D46" s="12" t="s">
        <v>207</v>
      </c>
      <c r="E46" s="13" t="s">
        <v>208</v>
      </c>
      <c r="F46" s="12" t="s">
        <v>184</v>
      </c>
      <c r="G46" s="13" t="s">
        <v>209</v>
      </c>
      <c r="H46" s="12" t="s">
        <v>15</v>
      </c>
      <c r="I46" s="13" t="s">
        <v>210</v>
      </c>
      <c r="J46" s="12">
        <v>1</v>
      </c>
      <c r="K46" s="12"/>
    </row>
    <row r="47" ht="15.75" spans="1:11">
      <c r="A47" s="2"/>
      <c r="B47" s="7">
        <f>ROW(B47)-ROW($B$2)</f>
        <v>45</v>
      </c>
      <c r="C47" s="8" t="s">
        <v>138</v>
      </c>
      <c r="D47" s="9" t="s">
        <v>211</v>
      </c>
      <c r="E47" s="10" t="s">
        <v>212</v>
      </c>
      <c r="F47" s="9" t="s">
        <v>141</v>
      </c>
      <c r="G47" s="10" t="s">
        <v>213</v>
      </c>
      <c r="H47" s="9" t="s">
        <v>15</v>
      </c>
      <c r="I47" s="10" t="s">
        <v>214</v>
      </c>
      <c r="J47" s="9">
        <v>1</v>
      </c>
      <c r="K47" s="9"/>
    </row>
    <row r="48" spans="1:11">
      <c r="A48" s="2"/>
      <c r="B48" s="7">
        <f>ROW(B48)-ROW($B$2)</f>
        <v>46</v>
      </c>
      <c r="C48" s="11" t="s">
        <v>138</v>
      </c>
      <c r="D48" s="12" t="s">
        <v>215</v>
      </c>
      <c r="E48" s="13" t="s">
        <v>216</v>
      </c>
      <c r="F48" s="12" t="s">
        <v>184</v>
      </c>
      <c r="G48" s="13" t="s">
        <v>217</v>
      </c>
      <c r="H48" s="12" t="s">
        <v>15</v>
      </c>
      <c r="I48" s="13" t="s">
        <v>218</v>
      </c>
      <c r="J48" s="12">
        <v>1</v>
      </c>
      <c r="K48" s="12"/>
    </row>
    <row r="49" spans="1:11">
      <c r="A49" s="2"/>
      <c r="B49" s="7">
        <f>ROW(B49)-ROW($B$2)</f>
        <v>47</v>
      </c>
      <c r="C49" s="8" t="s">
        <v>219</v>
      </c>
      <c r="D49" s="9" t="s">
        <v>220</v>
      </c>
      <c r="E49" s="10" t="s">
        <v>221</v>
      </c>
      <c r="F49" s="9" t="s">
        <v>222</v>
      </c>
      <c r="G49" s="10" t="s">
        <v>223</v>
      </c>
      <c r="H49" s="9" t="s">
        <v>134</v>
      </c>
      <c r="I49" s="10" t="s">
        <v>87</v>
      </c>
      <c r="J49" s="9">
        <v>1</v>
      </c>
      <c r="K49" s="9"/>
    </row>
    <row r="50" spans="1:11">
      <c r="A50" s="2"/>
      <c r="B50" s="7">
        <f>ROW(B50)-ROW($B$2)</f>
        <v>48</v>
      </c>
      <c r="C50" s="11" t="s">
        <v>224</v>
      </c>
      <c r="D50" s="12" t="s">
        <v>225</v>
      </c>
      <c r="E50" s="13" t="s">
        <v>226</v>
      </c>
      <c r="F50" s="12" t="s">
        <v>227</v>
      </c>
      <c r="G50" s="13" t="s">
        <v>228</v>
      </c>
      <c r="H50" s="12" t="s">
        <v>229</v>
      </c>
      <c r="I50" s="10" t="s">
        <v>87</v>
      </c>
      <c r="J50" s="12">
        <v>1</v>
      </c>
      <c r="K50" s="12"/>
    </row>
    <row r="51" spans="1:11">
      <c r="A51" s="2"/>
      <c r="B51" s="7">
        <f>ROW(B51)-ROW($B$2)</f>
        <v>49</v>
      </c>
      <c r="C51" s="8" t="s">
        <v>224</v>
      </c>
      <c r="D51" s="9" t="s">
        <v>230</v>
      </c>
      <c r="E51" s="10" t="s">
        <v>231</v>
      </c>
      <c r="F51" s="9" t="s">
        <v>232</v>
      </c>
      <c r="G51" s="10" t="s">
        <v>233</v>
      </c>
      <c r="H51" s="9" t="s">
        <v>134</v>
      </c>
      <c r="I51" s="10" t="s">
        <v>87</v>
      </c>
      <c r="J51" s="9">
        <v>3</v>
      </c>
      <c r="K51" s="9"/>
    </row>
    <row r="52" spans="1:11">
      <c r="A52" s="2"/>
      <c r="B52" s="7">
        <f>ROW(B52)-ROW($B$2)</f>
        <v>50</v>
      </c>
      <c r="C52" s="11" t="s">
        <v>224</v>
      </c>
      <c r="D52" s="12" t="s">
        <v>234</v>
      </c>
      <c r="E52" s="13" t="s">
        <v>235</v>
      </c>
      <c r="F52" s="12" t="s">
        <v>236</v>
      </c>
      <c r="G52" s="13" t="s">
        <v>237</v>
      </c>
      <c r="H52" s="12" t="s">
        <v>238</v>
      </c>
      <c r="I52" s="10" t="s">
        <v>87</v>
      </c>
      <c r="J52" s="12">
        <v>1</v>
      </c>
      <c r="K52" s="12"/>
    </row>
    <row r="53" ht="24.75" spans="1:11">
      <c r="A53" s="2"/>
      <c r="B53" s="7">
        <f>ROW(B53)-ROW($B$2)</f>
        <v>51</v>
      </c>
      <c r="C53" s="11" t="s">
        <v>224</v>
      </c>
      <c r="D53" s="9" t="s">
        <v>239</v>
      </c>
      <c r="E53" s="10" t="s">
        <v>240</v>
      </c>
      <c r="F53" s="9" t="s">
        <v>241</v>
      </c>
      <c r="G53" s="10" t="s">
        <v>242</v>
      </c>
      <c r="H53" s="9" t="s">
        <v>134</v>
      </c>
      <c r="I53" s="10" t="s">
        <v>87</v>
      </c>
      <c r="J53" s="9">
        <v>1</v>
      </c>
      <c r="K53" s="9"/>
    </row>
    <row r="54" ht="36.75" spans="1:11">
      <c r="A54" s="2"/>
      <c r="B54" s="7">
        <f>ROW(B54)-ROW($B$2)</f>
        <v>52</v>
      </c>
      <c r="C54" s="11" t="s">
        <v>243</v>
      </c>
      <c r="D54" s="12" t="s">
        <v>244</v>
      </c>
      <c r="E54" s="13" t="s">
        <v>245</v>
      </c>
      <c r="F54" s="12" t="s">
        <v>246</v>
      </c>
      <c r="G54" s="13" t="s">
        <v>247</v>
      </c>
      <c r="H54" s="12" t="s">
        <v>248</v>
      </c>
      <c r="I54" s="10" t="s">
        <v>87</v>
      </c>
      <c r="J54" s="12">
        <v>1</v>
      </c>
      <c r="K54" s="12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2025-05-07T05:44:48Z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F9D24506E4A34EFE8659F21C23032379_13</vt:lpwstr>
  </property>
  <property fmtid="{D5CDD505-2E9C-101B-9397-08002B2CF9AE}" pid="3" name="KSOProductBuildVer">
    <vt:lpwstr>1033-12.2.0.20795</vt:lpwstr>
  </property>
</Properties>
</file>
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manarharake-palmpcb\Design_Files\BOM\"/>
    </mc:Choice>
  </mc:AlternateContent>
  <bookViews>
    <workbookView xWindow="0" yWindow="0" windowWidth="20490" windowHeight="754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0" i="1"/>
  <c r="B29" i="1"/>
  <c r="B28" i="1"/>
  <c r="B27" i="1"/>
  <c r="B31" i="1"/>
  <c r="B26" i="1"/>
  <c r="B25" i="1"/>
  <c r="B24" i="1"/>
  <c r="B23" i="1"/>
  <c r="B22" i="1"/>
  <c r="B21" i="1"/>
  <c r="B20" i="1"/>
  <c r="B19" i="1"/>
  <c r="B17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<sst xmlns="http://schemas.openxmlformats.org/spreadsheetml/2006/main" count="248" uniqueCount="169">
  <si>
    <t>#</t>
  </si>
  <si>
    <t>Item Type</t>
  </si>
  <si>
    <t>Capacitor</t>
  </si>
  <si>
    <t>Diode</t>
  </si>
  <si>
    <t>Male Header</t>
  </si>
  <si>
    <t>FPC Connector</t>
  </si>
  <si>
    <t>USB C Connector</t>
  </si>
  <si>
    <t>LED</t>
  </si>
  <si>
    <t>Resistor</t>
  </si>
  <si>
    <t>Resistors</t>
  </si>
  <si>
    <t>IC</t>
  </si>
  <si>
    <t>Crystal</t>
  </si>
  <si>
    <t>Designator</t>
  </si>
  <si>
    <t>C1, C3</t>
  </si>
  <si>
    <t>C2</t>
  </si>
  <si>
    <t>C10</t>
  </si>
  <si>
    <t>C11, C14, C18</t>
  </si>
  <si>
    <t>C13, C16, C20</t>
  </si>
  <si>
    <t>C17</t>
  </si>
  <si>
    <t>C26, C28</t>
  </si>
  <si>
    <t>D1</t>
  </si>
  <si>
    <t>D2, D3</t>
  </si>
  <si>
    <t>D4</t>
  </si>
  <si>
    <t>J1</t>
  </si>
  <si>
    <t>J3</t>
  </si>
  <si>
    <t>J5, J6, J7, J8, J9, J10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</si>
  <si>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</si>
  <si>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</si>
  <si>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</si>
  <si>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</si>
  <si>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</si>
  <si>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</si>
  <si>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</si>
  <si>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</si>
  <si>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R20</t>
  </si>
  <si>
    <t>R21, R22</t>
  </si>
  <si>
    <t>R23</t>
  </si>
  <si>
    <t>R24</t>
  </si>
  <si>
    <t>U1</t>
  </si>
  <si>
    <t>U2</t>
  </si>
  <si>
    <t>U3, U4, U5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</si>
  <si>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</si>
  <si>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</si>
  <si>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</si>
  <si>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</si>
  <si>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</si>
  <si>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</si>
  <si>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</si>
  <si>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</si>
  <si>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</si>
  <si>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</si>
  <si>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</si>
  <si>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</si>
  <si>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16A 20V 7V 5V@Max Unidirectional SOT-23 TVS ROHS</t>
  </si>
  <si>
    <t>3A Straight Square Pins 2.5mm 6P 6mm -40℃~+105℃ 3mm 2.54mm 双排 Black 2x3P 2.54mm Plugin,P=2.54mm Pin Headers ROHS</t>
  </si>
  <si>
    <t>2mm pitch Solder Pad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</si>
  <si>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</si>
  <si>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</si>
  <si>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</si>
  <si>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</si>
  <si>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</si>
  <si>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</si>
  <si>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</si>
  <si>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</si>
  <si>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</si>
  <si>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</si>
  <si>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</si>
  <si>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</si>
  <si>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</si>
  <si>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</si>
  <si>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</si>
  <si>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</si>
  <si>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</si>
  <si>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</si>
  <si>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</si>
  <si>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</si>
  <si>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</si>
  <si>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</si>
  <si>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Sot-23</t>
  </si>
  <si>
    <t>PH-01291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</si>
  <si>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</si>
  <si>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</si>
  <si>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</si>
  <si>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</si>
  <si>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</si>
  <si>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</si>
  <si>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</si>
  <si>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</si>
  <si>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</si>
  <si>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</si>
  <si>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</si>
  <si>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</si>
  <si>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</si>
  <si>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</si>
  <si>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</si>
  <si>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</si>
  <si>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</si>
  <si>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</si>
  <si>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</si>
  <si>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ESD5302F-3/TR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</si>
  <si>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</si>
  <si>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</si>
  <si>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</si>
  <si>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</si>
  <si>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</si>
  <si>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</si>
  <si>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</si>
  <si>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</si>
  <si>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</si>
  <si>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</si>
  <si>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</si>
  <si>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</si>
  <si>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</si>
  <si>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</si>
  <si>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</si>
  <si>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</si>
  <si>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</si>
  <si>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</si>
  <si>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</si>
  <si>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</si>
  <si>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</si>
  <si>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</si>
  <si>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WILLSEMI</t>
  </si>
  <si>
    <t>Liansheng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</si>
  <si>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</si>
  <si>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</si>
  <si>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</si>
  <si>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</si>
  <si>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</si>
  <si>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</si>
  <si>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</si>
  <si>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</si>
  <si>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</si>
  <si>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</si>
  <si>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</si>
  <si>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</si>
  <si>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</si>
  <si>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</si>
  <si>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</si>
  <si>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</si>
  <si>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</si>
  <si>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</si>
  <si>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</si>
  <si>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</si>
  <si>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</si>
  <si>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</si>
  <si>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</si>
  <si>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</si>
  <si>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</si>
  <si>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</si>
  <si>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</si>
  <si>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</si>
  <si>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</si>
  <si>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</si>
  <si>
    <t>J4</t>
  </si>
  <si>
    <t>5A 1 16P Female Type-C SMD USB Connectors ROHS</t>
  </si>
  <si>
    <t>TYPE-C-31-M-12</t>
  </si>
  <si>
    <t>Korean Hroparts Elec</t>
  </si>
  <si>
    <t>C4, C5, C6, C7, C8, C9, C12, C15, C19, C24, C25, C27</t>
  </si>
  <si>
    <t>C22, C23</t>
  </si>
  <si>
    <t>U6</t>
  </si>
  <si>
    <t>Ra</t>
  </si>
  <si>
    <t>CONN FFC FPC BOTTOM 5POS 1MM R/A</t>
  </si>
  <si>
    <t>SFW5R-1STE1LF</t>
  </si>
  <si>
    <t>Amphenol ICC / FCI</t>
  </si>
  <si>
    <t>SS54B-HF</t>
  </si>
  <si>
    <t>Comchip</t>
  </si>
  <si>
    <t>SMB</t>
  </si>
  <si>
    <t>40V 5A 550mV@5A DO-214AA(SMB) Schottky Barrier Diodes (SBD)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</si>
</sst>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brand-detail/11578.html" TargetMode="External"/><Relationship Id="rId1" Type="http://schemas.openxmlformats.org/officeDocument/2006/relationships/hyperlink" Target="https://www.lcsc.com/brand-detail/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6"/>
  <sheetViews>
    <sheetView tabSelected="1" workbookViewId="0">
      <selection activeCell="H15" sqref="H1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42</v>
      </c>
      <c r="F2" s="5" t="s">
        <v>73</v>
      </c>
      <c r="G2" s="6" t="s">
        <v>88</v>
      </c>
      <c r="H2" s="5" t="s">
        <v>117</v>
      </c>
      <c r="I2" s="6" t="s">
        <v>151</v>
      </c>
      <c r="J2" s="5" t="s">
        <v>148</v>
      </c>
      <c r="K2" s="5" t="s">
        <v>152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43</v>
      </c>
      <c r="F3" s="7" t="s">
        <v>74</v>
      </c>
      <c r="G3" s="8" t="s">
        <v>89</v>
      </c>
      <c r="H3" s="7" t="s">
        <v>118</v>
      </c>
      <c r="I3" s="8" t="s">
        <v>129</v>
      </c>
      <c r="J3" s="7">
        <v>2</v>
      </c>
      <c r="K3" s="7"/>
    </row>
    <row r="4" spans="1:11" ht="15.75" thickBot="1" x14ac:dyDescent="0.3">
      <c r="A4" s="1"/>
      <c r="B4" s="11">
        <f t="shared" ref="B4:B35" si="0">ROW(B4) - ROW($B$2)</f>
        <v>2</v>
      </c>
      <c r="C4" s="13" t="s">
        <v>2</v>
      </c>
      <c r="D4" s="9" t="s">
        <v>14</v>
      </c>
      <c r="E4" s="10" t="s">
        <v>44</v>
      </c>
      <c r="F4" s="9" t="s">
        <v>74</v>
      </c>
      <c r="G4" s="10" t="s">
        <v>90</v>
      </c>
      <c r="H4" s="9" t="s">
        <v>118</v>
      </c>
      <c r="I4" s="10" t="s">
        <v>130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158</v>
      </c>
      <c r="E5" s="8" t="s">
        <v>45</v>
      </c>
      <c r="F5" s="7" t="s">
        <v>74</v>
      </c>
      <c r="G5" s="8" t="s">
        <v>91</v>
      </c>
      <c r="H5" s="7" t="s">
        <v>118</v>
      </c>
      <c r="I5" s="8" t="s">
        <v>131</v>
      </c>
      <c r="J5" s="7">
        <v>12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46</v>
      </c>
      <c r="F6" s="9" t="s">
        <v>75</v>
      </c>
      <c r="G6" s="10" t="s">
        <v>92</v>
      </c>
      <c r="H6" s="9" t="s">
        <v>119</v>
      </c>
      <c r="I6" s="10" t="s">
        <v>132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47</v>
      </c>
      <c r="F7" s="7" t="s">
        <v>74</v>
      </c>
      <c r="G7" s="8" t="s">
        <v>93</v>
      </c>
      <c r="H7" s="7" t="s">
        <v>118</v>
      </c>
      <c r="I7" s="8" t="s">
        <v>133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48</v>
      </c>
      <c r="F8" s="9" t="s">
        <v>74</v>
      </c>
      <c r="G8" s="10" t="s">
        <v>94</v>
      </c>
      <c r="H8" s="9" t="s">
        <v>120</v>
      </c>
      <c r="I8" s="10" t="s">
        <v>134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49</v>
      </c>
      <c r="F9" s="7" t="s">
        <v>76</v>
      </c>
      <c r="G9" s="8" t="s">
        <v>95</v>
      </c>
      <c r="H9" s="7" t="s">
        <v>118</v>
      </c>
      <c r="I9" s="8" t="s">
        <v>135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159</v>
      </c>
      <c r="E10" s="10" t="s">
        <v>50</v>
      </c>
      <c r="F10" s="9" t="s">
        <v>74</v>
      </c>
      <c r="G10" s="10" t="s">
        <v>96</v>
      </c>
      <c r="H10" s="9" t="s">
        <v>118</v>
      </c>
      <c r="I10" s="10" t="s">
        <v>133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19</v>
      </c>
      <c r="E11" s="8" t="s">
        <v>51</v>
      </c>
      <c r="F11" s="7" t="s">
        <v>74</v>
      </c>
      <c r="G11" s="8" t="s">
        <v>97</v>
      </c>
      <c r="H11" s="7" t="s">
        <v>118</v>
      </c>
      <c r="I11" s="8" t="s">
        <v>136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20</v>
      </c>
      <c r="E12" s="10" t="s">
        <v>52</v>
      </c>
      <c r="F12" s="9" t="s">
        <v>77</v>
      </c>
      <c r="G12" s="10" t="s">
        <v>98</v>
      </c>
      <c r="H12" s="9" t="s">
        <v>121</v>
      </c>
      <c r="I12" s="10" t="s">
        <v>149</v>
      </c>
      <c r="J12" s="9">
        <v>1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3</v>
      </c>
      <c r="D13" s="7" t="s">
        <v>21</v>
      </c>
      <c r="E13" s="10" t="s">
        <v>168</v>
      </c>
      <c r="F13" s="7" t="s">
        <v>167</v>
      </c>
      <c r="G13" s="10" t="s">
        <v>165</v>
      </c>
      <c r="H13" s="9" t="s">
        <v>166</v>
      </c>
      <c r="I13" s="10" t="s">
        <v>149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22</v>
      </c>
      <c r="E14" s="10" t="s">
        <v>53</v>
      </c>
      <c r="F14" s="9" t="s">
        <v>78</v>
      </c>
      <c r="G14" s="10" t="s">
        <v>99</v>
      </c>
      <c r="H14" s="9" t="s">
        <v>122</v>
      </c>
      <c r="I14" s="10" t="s">
        <v>149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23</v>
      </c>
      <c r="E15" s="8" t="s">
        <v>54</v>
      </c>
      <c r="F15" s="7" t="s">
        <v>153</v>
      </c>
      <c r="G15" s="8" t="s">
        <v>79</v>
      </c>
      <c r="H15" s="7" t="s">
        <v>123</v>
      </c>
      <c r="I15" s="10" t="s">
        <v>149</v>
      </c>
      <c r="J15" s="7">
        <v>1</v>
      </c>
      <c r="K15" s="7"/>
    </row>
    <row r="16" spans="1:11" ht="15.75" thickBot="1" x14ac:dyDescent="0.3">
      <c r="A16" s="1"/>
      <c r="B16" s="11">
        <f>ROW(B16) - ROW($B$2)</f>
        <v>14</v>
      </c>
      <c r="C16" s="12" t="s">
        <v>150</v>
      </c>
      <c r="D16" s="7" t="s">
        <v>24</v>
      </c>
      <c r="E16" s="8" t="s">
        <v>55</v>
      </c>
      <c r="F16" s="7" t="s">
        <v>153</v>
      </c>
      <c r="G16" s="8" t="s">
        <v>149</v>
      </c>
      <c r="H16" s="7" t="s">
        <v>149</v>
      </c>
      <c r="I16" s="10" t="s">
        <v>149</v>
      </c>
      <c r="J16" s="7">
        <v>1</v>
      </c>
      <c r="K16" s="7"/>
    </row>
    <row r="17" spans="1:11" ht="24.75" thickBot="1" x14ac:dyDescent="0.3">
      <c r="A17" s="1"/>
      <c r="B17" s="11">
        <f>ROW(B17) - ROW($B$2)</f>
        <v>15</v>
      </c>
      <c r="C17" s="12" t="s">
        <v>6</v>
      </c>
      <c r="D17" s="9" t="s">
        <v>154</v>
      </c>
      <c r="E17" s="10" t="s">
        <v>155</v>
      </c>
      <c r="F17" s="7" t="s">
        <v>153</v>
      </c>
      <c r="G17" s="10" t="s">
        <v>156</v>
      </c>
      <c r="H17" s="9" t="s">
        <v>157</v>
      </c>
      <c r="I17" s="10" t="s">
        <v>149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5</v>
      </c>
      <c r="D18" s="9" t="s">
        <v>25</v>
      </c>
      <c r="E18" s="10" t="s">
        <v>162</v>
      </c>
      <c r="F18" s="7" t="s">
        <v>153</v>
      </c>
      <c r="G18" s="10" t="s">
        <v>163</v>
      </c>
      <c r="H18" s="9" t="s">
        <v>164</v>
      </c>
      <c r="I18" s="10" t="s">
        <v>149</v>
      </c>
      <c r="J18" s="9">
        <v>6</v>
      </c>
      <c r="K18" s="9"/>
    </row>
    <row r="19" spans="1:11" ht="24.75" thickBot="1" x14ac:dyDescent="0.3">
      <c r="A19" s="1"/>
      <c r="B19" s="11">
        <f t="shared" si="0"/>
        <v>17</v>
      </c>
      <c r="C19" s="13" t="s">
        <v>7</v>
      </c>
      <c r="D19" s="9" t="s">
        <v>26</v>
      </c>
      <c r="E19" s="10" t="s">
        <v>56</v>
      </c>
      <c r="F19" s="9" t="s">
        <v>80</v>
      </c>
      <c r="G19" s="10" t="s">
        <v>100</v>
      </c>
      <c r="H19" s="9" t="s">
        <v>124</v>
      </c>
      <c r="I19" s="10" t="s">
        <v>149</v>
      </c>
      <c r="J19" s="9">
        <v>2</v>
      </c>
      <c r="K19" s="9"/>
    </row>
    <row r="20" spans="1:11" ht="24.75" thickBot="1" x14ac:dyDescent="0.3">
      <c r="A20" s="1"/>
      <c r="B20" s="11">
        <f>ROW(B20) - ROW($B$2)</f>
        <v>18</v>
      </c>
      <c r="C20" s="12" t="s">
        <v>7</v>
      </c>
      <c r="D20" s="7" t="s">
        <v>27</v>
      </c>
      <c r="E20" s="8" t="s">
        <v>57</v>
      </c>
      <c r="F20" s="7" t="s">
        <v>80</v>
      </c>
      <c r="G20" s="8" t="s">
        <v>101</v>
      </c>
      <c r="H20" s="7" t="s">
        <v>124</v>
      </c>
      <c r="I20" s="10" t="s">
        <v>149</v>
      </c>
      <c r="J20" s="7">
        <v>2</v>
      </c>
      <c r="K20" s="7"/>
    </row>
    <row r="21" spans="1:11" ht="15.75" thickBot="1" x14ac:dyDescent="0.3">
      <c r="A21" s="1"/>
      <c r="B21" s="11">
        <f t="shared" si="0"/>
        <v>19</v>
      </c>
      <c r="C21" s="13" t="s">
        <v>8</v>
      </c>
      <c r="D21" s="9" t="s">
        <v>28</v>
      </c>
      <c r="E21" s="10" t="s">
        <v>58</v>
      </c>
      <c r="F21" s="9" t="s">
        <v>81</v>
      </c>
      <c r="G21" s="10" t="s">
        <v>102</v>
      </c>
      <c r="H21" s="9" t="s">
        <v>118</v>
      </c>
      <c r="I21" s="10" t="s">
        <v>137</v>
      </c>
      <c r="J21" s="9">
        <v>7</v>
      </c>
      <c r="K21" s="9"/>
    </row>
    <row r="22" spans="1:11" ht="15.75" thickBot="1" x14ac:dyDescent="0.3">
      <c r="A22" s="1"/>
      <c r="B22" s="11">
        <f>ROW(B22) - ROW($B$2)</f>
        <v>20</v>
      </c>
      <c r="C22" s="12" t="s">
        <v>8</v>
      </c>
      <c r="D22" s="7" t="s">
        <v>29</v>
      </c>
      <c r="E22" s="8" t="s">
        <v>59</v>
      </c>
      <c r="F22" s="7" t="s">
        <v>81</v>
      </c>
      <c r="G22" s="8" t="s">
        <v>103</v>
      </c>
      <c r="H22" s="7" t="s">
        <v>118</v>
      </c>
      <c r="I22" s="8" t="s">
        <v>138</v>
      </c>
      <c r="J22" s="7">
        <v>1</v>
      </c>
      <c r="K22" s="7"/>
    </row>
    <row r="23" spans="1:11" ht="15.75" thickBot="1" x14ac:dyDescent="0.3">
      <c r="A23" s="1"/>
      <c r="B23" s="11">
        <f t="shared" si="0"/>
        <v>21</v>
      </c>
      <c r="C23" s="13" t="s">
        <v>8</v>
      </c>
      <c r="D23" s="9" t="s">
        <v>30</v>
      </c>
      <c r="E23" s="10" t="s">
        <v>60</v>
      </c>
      <c r="F23" s="9" t="s">
        <v>81</v>
      </c>
      <c r="G23" s="10" t="s">
        <v>104</v>
      </c>
      <c r="H23" s="9" t="s">
        <v>118</v>
      </c>
      <c r="I23" s="10" t="s">
        <v>139</v>
      </c>
      <c r="J23" s="9">
        <v>4</v>
      </c>
      <c r="K23" s="9"/>
    </row>
    <row r="24" spans="1:11" ht="15.75" thickBot="1" x14ac:dyDescent="0.3">
      <c r="A24" s="1"/>
      <c r="B24" s="11">
        <f>ROW(B24) - ROW($B$2)</f>
        <v>22</v>
      </c>
      <c r="C24" s="12" t="s">
        <v>8</v>
      </c>
      <c r="D24" s="7" t="s">
        <v>31</v>
      </c>
      <c r="E24" s="8" t="s">
        <v>61</v>
      </c>
      <c r="F24" s="7" t="s">
        <v>81</v>
      </c>
      <c r="G24" s="8" t="s">
        <v>105</v>
      </c>
      <c r="H24" s="7" t="s">
        <v>118</v>
      </c>
      <c r="I24" s="8" t="s">
        <v>140</v>
      </c>
      <c r="J24" s="7">
        <v>2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8</v>
      </c>
      <c r="D25" s="9" t="s">
        <v>32</v>
      </c>
      <c r="E25" s="10" t="s">
        <v>58</v>
      </c>
      <c r="F25" s="9" t="s">
        <v>81</v>
      </c>
      <c r="G25" s="10" t="s">
        <v>102</v>
      </c>
      <c r="H25" s="9" t="s">
        <v>118</v>
      </c>
      <c r="I25" s="10" t="s">
        <v>141</v>
      </c>
      <c r="J25" s="9">
        <v>2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9</v>
      </c>
      <c r="D26" s="7" t="s">
        <v>33</v>
      </c>
      <c r="E26" s="8" t="s">
        <v>62</v>
      </c>
      <c r="F26" s="7" t="s">
        <v>81</v>
      </c>
      <c r="G26" s="8" t="s">
        <v>106</v>
      </c>
      <c r="H26" s="7" t="s">
        <v>118</v>
      </c>
      <c r="I26" s="8" t="s">
        <v>142</v>
      </c>
      <c r="J26" s="7">
        <v>2</v>
      </c>
      <c r="K26" s="7"/>
    </row>
    <row r="27" spans="1:11" ht="15.75" thickBot="1" x14ac:dyDescent="0.3">
      <c r="A27" s="1"/>
      <c r="B27" s="11">
        <f>ROW(B27) - ROW($B$2)</f>
        <v>25</v>
      </c>
      <c r="C27" s="12" t="s">
        <v>8</v>
      </c>
      <c r="D27" s="7" t="s">
        <v>34</v>
      </c>
      <c r="E27" s="8" t="s">
        <v>64</v>
      </c>
      <c r="F27" s="7" t="s">
        <v>81</v>
      </c>
      <c r="G27" s="8" t="s">
        <v>108</v>
      </c>
      <c r="H27" s="7" t="s">
        <v>118</v>
      </c>
      <c r="I27" s="8" t="s">
        <v>144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8</v>
      </c>
      <c r="D28" s="9" t="s">
        <v>35</v>
      </c>
      <c r="E28" s="10" t="s">
        <v>65</v>
      </c>
      <c r="F28" s="9" t="s">
        <v>81</v>
      </c>
      <c r="G28" s="10" t="s">
        <v>109</v>
      </c>
      <c r="H28" s="9" t="s">
        <v>118</v>
      </c>
      <c r="I28" s="10" t="s">
        <v>145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8</v>
      </c>
      <c r="D29" s="7" t="s">
        <v>36</v>
      </c>
      <c r="E29" s="8" t="s">
        <v>66</v>
      </c>
      <c r="F29" s="7" t="s">
        <v>81</v>
      </c>
      <c r="G29" s="8" t="s">
        <v>110</v>
      </c>
      <c r="H29" s="7" t="s">
        <v>118</v>
      </c>
      <c r="I29" s="8" t="s">
        <v>146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8</v>
      </c>
      <c r="D30" s="9" t="s">
        <v>37</v>
      </c>
      <c r="E30" s="10" t="s">
        <v>67</v>
      </c>
      <c r="F30" s="9" t="s">
        <v>81</v>
      </c>
      <c r="G30" s="10" t="s">
        <v>111</v>
      </c>
      <c r="H30" s="9" t="s">
        <v>125</v>
      </c>
      <c r="I30" s="10" t="s">
        <v>147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8</v>
      </c>
      <c r="D31" s="9" t="s">
        <v>161</v>
      </c>
      <c r="E31" s="10" t="s">
        <v>63</v>
      </c>
      <c r="F31" s="9" t="s">
        <v>82</v>
      </c>
      <c r="G31" s="10" t="s">
        <v>107</v>
      </c>
      <c r="H31" s="9" t="s">
        <v>118</v>
      </c>
      <c r="I31" s="10" t="s">
        <v>143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3" t="s">
        <v>10</v>
      </c>
      <c r="D32" s="7" t="s">
        <v>38</v>
      </c>
      <c r="E32" s="8" t="s">
        <v>68</v>
      </c>
      <c r="F32" s="7" t="s">
        <v>83</v>
      </c>
      <c r="G32" s="8" t="s">
        <v>112</v>
      </c>
      <c r="H32" s="7" t="s">
        <v>126</v>
      </c>
      <c r="I32" s="8" t="s">
        <v>149</v>
      </c>
      <c r="J32" s="7">
        <v>1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10</v>
      </c>
      <c r="D33" s="9" t="s">
        <v>39</v>
      </c>
      <c r="E33" s="10" t="s">
        <v>69</v>
      </c>
      <c r="F33" s="9" t="s">
        <v>84</v>
      </c>
      <c r="G33" s="10" t="s">
        <v>113</v>
      </c>
      <c r="H33" s="9" t="s">
        <v>127</v>
      </c>
      <c r="I33" s="8" t="s">
        <v>149</v>
      </c>
      <c r="J33" s="9">
        <v>1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10</v>
      </c>
      <c r="D34" s="7" t="s">
        <v>40</v>
      </c>
      <c r="E34" s="8" t="s">
        <v>70</v>
      </c>
      <c r="F34" s="7" t="s">
        <v>85</v>
      </c>
      <c r="G34" s="8" t="s">
        <v>114</v>
      </c>
      <c r="H34" s="7" t="s">
        <v>126</v>
      </c>
      <c r="I34" s="8" t="s">
        <v>149</v>
      </c>
      <c r="J34" s="7">
        <v>3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10</v>
      </c>
      <c r="D35" s="9" t="s">
        <v>160</v>
      </c>
      <c r="E35" s="10" t="s">
        <v>71</v>
      </c>
      <c r="F35" s="9" t="s">
        <v>86</v>
      </c>
      <c r="G35" s="10" t="s">
        <v>115</v>
      </c>
      <c r="H35" s="9" t="s">
        <v>128</v>
      </c>
      <c r="I35" s="8" t="s">
        <v>149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11</v>
      </c>
      <c r="D36" s="7" t="s">
        <v>41</v>
      </c>
      <c r="E36" s="8" t="s">
        <v>72</v>
      </c>
      <c r="F36" s="7" t="s">
        <v>87</v>
      </c>
      <c r="G36" s="8" t="s">
        <v>116</v>
      </c>
      <c r="H36" s="7" t="s">
        <v>120</v>
      </c>
      <c r="I36" s="8" t="s">
        <v>149</v>
      </c>
      <c r="J36" s="7">
        <v>1</v>
      </c>
      <c r="K36" s="7"/>
    </row>
  </sheetData>
  <mergeCells count="1">
    <mergeCell ref="I1:K1"/>
  </mergeCells>
  <hyperlinks>
    <hyperlink ref="H18" r:id="rId1" display="https://www.lcsc.com/brand-detail/86.html"/>
    <hyperlink ref="H13" r:id="rId2" display="https://www.lcsc.com/brand-detail/11578.html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2024-06-21T15:14:46Z</dcterms:modified>
</cp:coreProperties>
</file>